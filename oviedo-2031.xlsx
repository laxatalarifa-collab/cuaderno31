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b15967092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b077adf382a490f"/>
    <x:sheet xmlns:r="http://schemas.openxmlformats.org/officeDocument/2006/relationships" name="Espacios" sheetId="2" r:id="Rc3bd274dfe684714"/>
    <x:sheet xmlns:r="http://schemas.openxmlformats.org/officeDocument/2006/relationships" name="Recorrido" sheetId="3" r:id="R6826202ea36d4ca1"/>
    <x:sheet xmlns:r="http://schemas.openxmlformats.org/officeDocument/2006/relationships" name="Contactos" sheetId="4" r:id="R0dd8b3ea141f4ea0"/>
    <x:sheet xmlns:r="http://schemas.openxmlformats.org/officeDocument/2006/relationships" name="Boceto" sheetId="5" r:id="R2ef3fcb2ca1e46b6"/>
    <x:sheet xmlns:r="http://schemas.openxmlformats.org/officeDocument/2006/relationships" name="Timeline" sheetId="6" r:id="R95d668f35d18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0"/>
  </x:numFmts>
  <x:fonts count="7">
    <x:font>
      <x:sz val="11"/>
      <x:name val="Carlito"/>
    </x:font>
    <x:font>
      <x:sz val="11"/>
      <x:color rgb="FF15223B"/>
      <x:name val="Arial"/>
    </x:font>
    <x:font>
      <x:b/>
      <x:sz val="17"/>
      <x:color rgb="FF15223B"/>
      <x:name val="Arial"/>
    </x:font>
    <x:font>
      <x:b/>
      <x:sz val="14"/>
      <x:color rgb="FF15223B"/>
      <x:name val="Arial"/>
    </x:font>
    <x:font>
      <x:b/>
      <x:sz val="11"/>
      <x:color rgb="FF15223B"/>
      <x:name val="Arial"/>
    </x:font>
    <x:font>
      <x:i/>
      <x:sz val="11"/>
      <x:color rgb="FF536078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6EF69"/>
      </x:patternFill>
    </x:fill>
    <x:fill>
      <x:patternFill patternType="solid">
        <x:fgColor rgb="FFE8EDF6"/>
      </x:patternFill>
    </x:fill>
    <x:fill>
      <x:patternFill patternType="solid">
        <x:fgColor rgb="FF15223B"/>
      </x:patternFill>
    </x:fill>
    <x:fill>
      <x:patternFill patternType="solid">
        <x:fgColor rgb="FFF0F4FA"/>
      </x:patternFill>
    </x:fill>
    <x:fill>
      <x:patternFill patternType="solid">
        <x:fgColor rgb="FFFFFFFF"/>
      </x:patternFill>
    </x:fill>
    <x:fill>
      <x:patternFill patternType="solid">
        <x:fgColor rgb="FFFFF1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5223B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6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65C31"/>
      </x:font>
      <x:fill>
        <x:patternFill patternType="solid">
          <x:bgColor rgb="FFDBEBD9"/>
        </x:patternFill>
      </x:fill>
    </x:dxf>
    <x:dxf>
      <x:font>
        <x:color rgb="FF765315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db09ae9114e17" /><Relationship Type="http://schemas.openxmlformats.org/officeDocument/2006/relationships/theme" Target="/xl/theme/theme1.xml" Id="Rf312a93ee22948cf" /><Relationship Type="http://schemas.openxmlformats.org/officeDocument/2006/relationships/sharedStrings" Target="/xl/sharedStrings.xml" Id="R286d2417fb3841f6" /><Relationship Type="http://schemas.openxmlformats.org/officeDocument/2006/relationships/worksheet" Target="/xl/worksheets/sheet1.xml" Id="Rcb077adf382a490f" /><Relationship Type="http://schemas.openxmlformats.org/officeDocument/2006/relationships/worksheet" Target="/xl/worksheets/sheet2.xml" Id="Rc3bd274dfe684714" /><Relationship Type="http://schemas.openxmlformats.org/officeDocument/2006/relationships/worksheet" Target="/xl/worksheets/sheet3.xml" Id="R6826202ea36d4ca1" /><Relationship Type="http://schemas.openxmlformats.org/officeDocument/2006/relationships/worksheet" Target="/xl/worksheets/sheet4.xml" Id="R0dd8b3ea141f4ea0" /><Relationship Type="http://schemas.openxmlformats.org/officeDocument/2006/relationships/worksheet" Target="/xl/worksheets/sheet5.xml" Id="R2ef3fcb2ca1e46b6" /><Relationship Type="http://schemas.openxmlformats.org/officeDocument/2006/relationships/worksheet" Target="/xl/worksheets/sheet6.xml" Id="R95d668f35d184f42" /></Relationships>
</file>

<file path=xl/tables/table1.xml><?xml version="1.0" encoding="utf-8"?>
<x:table xmlns:x="http://schemas.openxmlformats.org/spreadsheetml/2006/main" id="1" name="EspaciosDatos" displayName="EspaciosDatos" ref="B10:G21" headerRowCount="1" totalsRowCount="0" totalsRowShown="0">
  <x:autoFilter ref="B10:G21"/>
  <x:tableColumns count="6">
    <x:tableColumn id="1" name="ID"/>
    <x:tableColumn id="2" name="Espacio"/>
    <x:tableColumn id="3" name="Situación"/>
    <x:tableColumn id="4" name="Función"/>
    <x:tableColumn id="5" name="Propuesta"/>
    <x:tableColumn id="6" name="Por resolv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rridoDatos" displayName="RecorridoDatos" ref="B10:G18" headerRowCount="1" totalsRowCount="0" totalsRowShown="0">
  <x:autoFilter ref="B10:G18"/>
  <x:tableColumns count="6">
    <x:tableColumn id="1" name="Orden"/>
    <x:tableColumn id="2" name="Parada"/>
    <x:tableColumn id="3" name="Espacio ID"/>
    <x:tableColumn id="4" name="Sentido"/>
    <x:tableColumn id="5" name="Acción"/>
    <x:tableColumn id="6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osDatos" displayName="ContactosDatos" ref="B10:H23" headerRowCount="1" totalsRowCount="0" totalsRowShown="0">
  <x:autoFilter ref="B10:H23"/>
  <x:tableColumns count="7">
    <x:tableColumn id="1" name="ID"/>
    <x:tableColumn id="2" name="Persona o agente"/>
    <x:tableColumn id="3" name="Función propuesta"/>
    <x:tableColumn id="4" name="Ámbito"/>
    <x:tableColumn id="5" name="Email"/>
    <x:tableColumn id="6" name="Estado"/>
    <x:tableColumn id="7" name="Siguiente pas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cetoDatos" displayName="BocetoDatos" ref="B10:E23" headerRowCount="1" totalsRowCount="0" totalsRowShown="0">
  <x:autoFilter ref="B10:E23"/>
  <x:tableColumns count="4">
    <x:tableColumn id="1" name="Bloque"/>
    <x:tableColumn id="2" name="Idea"/>
    <x:tableColumn id="3" name="Desarrollo"/>
    <x:tableColumn id="4" name="Situ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imelineDatos" displayName="TimelineDatos" ref="B10:G18" headerRowCount="1" totalsRowCount="0" totalsRowShown="0">
  <x:autoFilter ref="B10:G18"/>
  <x:tableColumns count="6">
    <x:tableColumn id="1" name="Orden"/>
    <x:tableColumn id="2" name="Tramo"/>
    <x:tableColumn id="3" name="Inicio"/>
    <x:tableColumn id="4" name="Fin"/>
    <x:tableColumn id="5" name="Minutos"/>
    <x:tableColumn id="6" name="Condi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link11" Type="http://schemas.openxmlformats.org/officeDocument/2006/relationships/hyperlink" Target="https://docs.google.com/document/d/1jjoYKWOp5is5KAjY2367ABZDR5JIeKKeXydSkLRppHA" TargetMode="External" /><ns0:Relationship Id="link12" Type="http://schemas.openxmlformats.org/officeDocument/2006/relationships/hyperlink" Target="https://drive.google.com/drive/folders/1V3hlvcJG3v1P-BegzTu4F4UBbeXO9sgl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b84e4317ef3446dd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276af08aa6e34a46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fbad9e41e1744c8f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4.xml" Id="Rdae0282d677342a8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eb5f846370614860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5223B"/>
  </sheetPr>
  <sheetViews>
    <sheetView showGridLines="0" workbookViewId="0"/>
  </sheetViews>
  <sheetFormatPr defaultRowHeight="15"/>
  <cols>
    <col min="1" max="1" width="3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Cuaderno de la visita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7" t="str">
        <v>Inicio</v>
      </c>
      <c r="C6" s="9" t="str">
        <v>Espacios</v>
      </c>
      <c r="D6" s="9" t="str">
        <v>Recorrido</v>
      </c>
      <c r="E6" s="9" t="str">
        <v>Contactos</v>
      </c>
      <c r="F6" s="9" t="str">
        <v>Boceto</v>
      </c>
      <c r="G6" s="9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4" t="str">
        <v>Apartado</v>
      </c>
      <c r="C10" s="24"/>
      <c r="D10" s="24" t="str">
        <v>Contenido</v>
      </c>
      <c r="E10" s="24"/>
      <c r="F10" s="24"/>
      <c r="G10" s="24"/>
      <c r="H10" s="24"/>
    </row>
    <row r="11" ht="36" customHeight="1">
      <c r="A11" s="2"/>
      <c r="B11" s="7" t="str">
        <v>Espacios</v>
      </c>
      <c r="C11" s="6"/>
      <c r="D11" s="2" t="str">
        <v>Sedes, alternativas de final y condiciones por resolver.</v>
      </c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 ht="36" customHeight="1">
      <c r="A13" s="2"/>
      <c r="B13" s="7" t="str">
        <v>Recorrido</v>
      </c>
      <c r="C13" s="6"/>
      <c r="D13" s="2" t="str">
        <v>Ocho tramos en el orden propuesto del día.</v>
      </c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 ht="36" customHeight="1">
      <c r="A15" s="2"/>
      <c r="B15" s="7" t="str">
        <v>Contactos</v>
      </c>
      <c r="C15" s="6"/>
      <c r="D15" s="2" t="str">
        <v>Agentes citados y datos de contacto por completar.</v>
      </c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 ht="36" customHeight="1">
      <c r="A17" s="2"/>
      <c r="B17" s="7" t="str">
        <v>Boceto</v>
      </c>
      <c r="C17" s="6"/>
      <c r="D17" s="2" t="str">
        <v>Relato, finales posibles y crítica enviada.</v>
      </c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 ht="36" customHeight="1">
      <c r="A19" s="2"/>
      <c r="B19" s="7" t="str">
        <v>Timeline</v>
      </c>
      <c r="C19" s="6"/>
      <c r="D19" s="2" t="str">
        <v>Horario editable y ventana del epílogo.</v>
      </c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 ht="30" customHeight="1">
      <c r="A22" s="2"/>
      <c r="B22" s="25" t="str">
        <v>No hay final elegido ni sedes, artistas o accesos reservados.</v>
      </c>
      <c r="C22" s="25"/>
      <c r="D22" s="25"/>
      <c r="E22" s="25"/>
      <c r="F22" s="25"/>
      <c r="G22" s="25"/>
      <c r="H22" s="25"/>
    </row>
    <row r="23">
      <c r="A23" s="2"/>
      <c r="B23" s="2"/>
      <c r="C23" s="2"/>
      <c r="D23" s="2"/>
      <c r="E23" s="2"/>
      <c r="F23" s="2"/>
      <c r="G23" s="2"/>
      <c r="H23" s="2"/>
    </row>
    <row r="24" ht="30" customHeight="1">
      <c r="A24" s="2"/>
      <c r="B24" s="2" t="str">
        <v>La Vega: final aproximado a las 18:00. Epílogo y salida antes de las 18:20.</v>
      </c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 t="str">
        <v>Resumen de Adrián</v>
      </c>
      <c r="C26" s="2"/>
      <c r="D26" s="2"/>
      <c r="E26" s="2"/>
      <c r="F26" s="2"/>
      <c r="G26" s="2"/>
      <c r="H26" s="2"/>
    </row>
    <row r="27">
      <c r="A27" s="2"/>
      <c r="B27" s="2" t="str">
        <v>Carpeta de materiales</v>
      </c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 t="str">
        <v>Referencia: resumen de Adrián y crítica enviada desde La XaTa La Rifa (07.10.2026).</v>
      </c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4" t="str">
        <v>Decisiones pendientes</v>
      </c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 ht="38" customHeight="1">
      <c r="B33" s="26" t="str">
        <v>Fijar nave y puerta de salida de La Vega</v>
      </c>
      <c r="C33" s="26"/>
      <c r="D33" s="26"/>
      <c r="E33" s="26"/>
      <c r="F33" s="26"/>
      <c r="G33" s="27" t="str">
        <v>Pendiente</v>
      </c>
      <c r="H33" s="26" t="str">
        <v>Antes de elegir final</v>
      </c>
    </row>
    <row r="34" ht="38" customHeight="1">
      <c r="B34" s="26" t="str">
        <v>Cronometrar los tres itinerarios con el grupo previsto</v>
      </c>
      <c r="C34" s="26"/>
      <c r="D34" s="26"/>
      <c r="E34" s="26"/>
      <c r="F34" s="26"/>
      <c r="G34" s="27" t="str">
        <v>Pendiente</v>
      </c>
      <c r="H34" s="26" t="str">
        <v>Tras fijar la salida</v>
      </c>
    </row>
    <row r="35" ht="38" customHeight="1">
      <c r="B35" s="26" t="str">
        <v>Consultar disponibilidad de espacios</v>
      </c>
      <c r="C35" s="26"/>
      <c r="D35" s="26"/>
      <c r="E35" s="26"/>
      <c r="F35" s="26"/>
      <c r="G35" s="27" t="str">
        <v>Pendiente</v>
      </c>
      <c r="H35" s="26" t="str">
        <v>Antes de reservar</v>
      </c>
    </row>
    <row r="36" ht="38" customHeight="1">
      <c r="B36" s="26" t="str">
        <v>Resolver luz, acústica, suelo y lluvia</v>
      </c>
      <c r="C36" s="26"/>
      <c r="D36" s="26"/>
      <c r="E36" s="26"/>
      <c r="F36" s="26"/>
      <c r="G36" s="27" t="str">
        <v>Pendiente</v>
      </c>
      <c r="H36" s="26" t="str">
        <v>Según alternativa</v>
      </c>
    </row>
    <row r="37" ht="38" customHeight="1">
      <c r="B37" s="26" t="str">
        <v>Confirmar tren y alternativa de transporte</v>
      </c>
      <c r="C37" s="26"/>
      <c r="D37" s="26"/>
      <c r="E37" s="26"/>
      <c r="F37" s="26"/>
      <c r="G37" s="27" t="str">
        <v>Pendiente</v>
      </c>
      <c r="H37" s="26" t="str">
        <v>Antes de cerrar horarios</v>
      </c>
    </row>
    <row r="38" ht="38" customHeight="1">
      <c r="B38" s="26" t="str">
        <v>Confirmar fecha completa: 27 de noviembre, año sin indicar</v>
      </c>
      <c r="C38" s="26"/>
      <c r="D38" s="26"/>
      <c r="E38" s="26"/>
      <c r="F38" s="26"/>
      <c r="G38" s="27" t="str">
        <v>Pendiente</v>
      </c>
      <c r="H38" s="26" t="str">
        <v>Antes de cerrar agenda</v>
      </c>
    </row>
  </sheetData>
  <mergeCells>
    <mergeCell ref="B11:C11"/>
    <mergeCell ref="D11:H11"/>
    <mergeCell ref="B13:C13"/>
    <mergeCell ref="D13:H13"/>
    <mergeCell ref="B15:C15"/>
    <mergeCell ref="D15:H15"/>
    <mergeCell ref="B17:C17"/>
    <mergeCell ref="D17:H17"/>
    <mergeCell ref="B19:C19"/>
    <mergeCell ref="D19:H19"/>
    <mergeCell ref="B22:H22"/>
    <mergeCell ref="B24:H24"/>
    <mergeCell ref="B29:H29"/>
    <mergeCell ref="B33:F33"/>
    <mergeCell ref="B34:F34"/>
    <mergeCell ref="B35:F35"/>
    <mergeCell ref="B36:F36"/>
    <mergeCell ref="B37:F37"/>
    <mergeCell ref="B38:F38"/>
  </mergeCells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  <hyperlink ref="B11" display="Espacios" location="'Espacios'!B2"/>
    <hyperlink ref="B13" display="Recorrido" location="'Recorrido'!B2"/>
    <hyperlink ref="B15" display="Contactos" location="'Contactos'!B2"/>
    <hyperlink ref="B17" display="Boceto" location="'Boceto'!B2"/>
    <hyperlink ref="B19" display="Timeline" location="'Timeline'!B2"/>
    <hyperlink ref="B26" display="Resumen de Adrián" r:id="link11"/>
    <hyperlink ref="B27" display="Carpeta de materiales" r:id="link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839E"/>
  </sheetPr>
  <sheetViews>
    <sheetView showGridLines="0" workbookViewId="0">
      <pane ySplit="10" topLeftCell="A11" activePane="bottomLeft" state="frozen"/>
    </sheetView>
  </sheetViews>
  <sheetFormatPr defaultRowHeight="15"/>
  <cols>
    <col min="1" max="1" width="3" hidden="0" customWidth="1"/>
    <col min="2" max="2" width="9" hidden="0" customWidth="1"/>
    <col min="3" max="3" width="31" hidden="0" customWidth="1"/>
    <col min="4" max="4" width="23" hidden="0" customWidth="1"/>
    <col min="5" max="5" width="30" hidden="0" customWidth="1"/>
    <col min="6" max="6" width="55" hidden="0" customWidth="1"/>
    <col min="7" max="7" width="49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Espacios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9" t="str">
        <v>Inicio</v>
      </c>
      <c r="C6" s="7" t="str">
        <v>Espacios</v>
      </c>
      <c r="D6" s="9" t="str">
        <v>Recorrido</v>
      </c>
      <c r="E6" s="9" t="str">
        <v>Contactos</v>
      </c>
      <c r="F6" s="9" t="str">
        <v>Boceto</v>
      </c>
      <c r="G6" s="9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 ht="32" customHeight="1">
      <c r="A10" s="2"/>
      <c r="B10" s="15" t="str">
        <v>ID</v>
      </c>
      <c r="C10" s="15" t="str">
        <v>Espacio</v>
      </c>
      <c r="D10" s="15" t="str">
        <v>Situación</v>
      </c>
      <c r="E10" s="15" t="str">
        <v>Función</v>
      </c>
      <c r="F10" s="15" t="str">
        <v>Propuesta</v>
      </c>
      <c r="G10" s="15" t="str">
        <v>Por resolver</v>
      </c>
      <c r="H10" s="2"/>
    </row>
    <row r="11" ht="82" customHeight="1">
      <c r="A11" s="2"/>
      <c r="B11" s="16" t="str">
        <v>E01</v>
      </c>
      <c r="C11" s="16" t="str">
        <v>Las Caldas</v>
      </c>
      <c r="D11" s="16" t="str">
        <v>Inicio probable</v>
      </c>
      <c r="E11" s="16" t="str">
        <v>Agua, salud y ruralidad</v>
      </c>
      <c r="F11" s="16" t="str">
        <v>Centro social, residencia vinculada al albergue mencionado como Prioro y lavadero de La Templanza / Pulsa el Barrio.</v>
      </c>
      <c r="G11" s="16" t="str">
        <v>Confirmar albergue, accesos y agentes locales.</v>
      </c>
      <c r="H11" s="2"/>
    </row>
    <row r="12" ht="82" customHeight="1">
      <c r="A12" s="2"/>
      <c r="B12" s="17" t="str">
        <v>E02</v>
      </c>
      <c r="C12" s="17" t="str">
        <v>Red ferroviaria hacia Mieres</v>
      </c>
      <c r="D12" s="17" t="str">
        <v>Trayecto propuesto</v>
      </c>
      <c r="E12" s="17" t="str">
        <v>Tren de memoria</v>
      </c>
      <c r="F12" s="17" t="str">
        <v>Recorrido excepcional con referencias a Trubia, Morera o Fuso. Artistas, relatos y músicas entran en distintas paradas.</v>
      </c>
      <c r="G12" s="17" t="str">
        <v>Concretar trazado, operación y autorizaciones.</v>
      </c>
      <c r="H12" s="2"/>
    </row>
    <row r="13" ht="82" customHeight="1">
      <c r="A13" s="2"/>
      <c r="B13" s="16" t="str">
        <v>E03</v>
      </c>
      <c r="C13" s="16" t="str">
        <v>Mieres / Pozo Santa Bárbara</v>
      </c>
      <c r="D13" s="16" t="str">
        <v>Parada propuesta</v>
      </c>
      <c r="E13" s="16" t="str">
        <v>Memoria minera y reconversión</v>
      </c>
      <c r="F13" s="16" t="str">
        <v>Memoria del trabajo y desindustrialización. Imagen artística: muerte y resurrección.</v>
      </c>
      <c r="G13" s="16" t="str">
        <v>Verificar sede, accesos y participación artística.</v>
      </c>
      <c r="H13" s="2"/>
    </row>
    <row r="14" ht="82" customHeight="1">
      <c r="A14" s="2"/>
      <c r="B14" s="17" t="str">
        <v>E04</v>
      </c>
      <c r="C14" s="17" t="str">
        <v>Naranco</v>
      </c>
      <c r="D14" s="17" t="str">
        <v>Parada propuesta</v>
      </c>
      <c r="E14" s="17" t="str">
        <v>Arte, ciencia y oralidad</v>
      </c>
      <c r="F14" s="17" t="str">
        <v>Paseo entre Santa María del Naranco y San Miguel de Lillo para ampliar la mirada del territorio.</v>
      </c>
      <c r="G14" s="17" t="str">
        <v>Verificar nombres, participaciones y recorrido.</v>
      </c>
      <c r="H14" s="2"/>
    </row>
    <row r="15" ht="82" customHeight="1">
      <c r="A15" s="2"/>
      <c r="B15" s="16" t="str">
        <v>E05</v>
      </c>
      <c r="C15" s="16" t="str">
        <v>Rúa 13</v>
      </c>
      <c r="D15" s="16" t="str">
        <v>Comida propuesta</v>
      </c>
      <c r="E15" s="16" t="str">
        <v>Hospitalidad y conversación</v>
      </c>
      <c r="F15" s="16" t="str">
        <v>Descanso y comida, sin nueva presentación durante la mesa.</v>
      </c>
      <c r="G15" s="16" t="str">
        <v>Confirmar espacio, tres cocineros y servicio.</v>
      </c>
      <c r="H15" s="2"/>
    </row>
    <row r="16" ht="82" customHeight="1">
      <c r="A16" s="2"/>
      <c r="B16" s="17" t="str">
        <v>E06</v>
      </c>
      <c r="C16" s="17" t="str">
        <v>Centro histórico</v>
      </c>
      <c r="D16" s="17" t="str">
        <v>Parada propuesta</v>
      </c>
      <c r="E16" s="17" t="str">
        <v>Patrimonio</v>
      </c>
      <c r="F16" s="17" t="str">
        <v>Selección breve que continúe el relato. Reservar el espacio del epílogo como lugar nuevo.</v>
      </c>
      <c r="G16" s="17" t="str">
        <v>Elegir paradas y cronometrar traslados.</v>
      </c>
      <c r="H16" s="2"/>
    </row>
    <row r="17" ht="82" customHeight="1">
      <c r="A17" s="2"/>
      <c r="B17" s="16" t="str">
        <v>E07</v>
      </c>
      <c r="C17" s="16" t="str">
        <v>La Vega</v>
      </c>
      <c r="D17" s="16" t="str">
        <v>Clímax propuesto</v>
      </c>
      <c r="E17" s="16" t="str">
        <v>Comunidad y futuros compartidos</v>
      </c>
      <c r="F17" s="16" t="str">
        <v>Hasta unas 800 personas, naves y prácticas simultáneas: danza, breaking, folclore, creación contemporánea, música y amagüestu.</v>
      </c>
      <c r="G17" s="16" t="str">
        <v>Fijar nave, puerta de salida, aforo, accesos y participaciones.</v>
      </c>
      <c r="H17" s="2"/>
    </row>
    <row r="18" ht="82" customHeight="1">
      <c r="A18" s="2"/>
      <c r="B18" s="17" t="str">
        <v>E08</v>
      </c>
      <c r="C18" s="17" t="str">
        <v>Claustro del Museo Arqueológico</v>
      </c>
      <c r="D18" s="17" t="str">
        <v>Alternativa de final</v>
      </c>
      <c r="E18" s="17" t="str">
        <v>Voces y silencio</v>
      </c>
      <c r="F18" s="17" t="str">
        <v>Cuatro voces separadas confluyen en un único sonido. La piedra permanece cuando el canto desaparece.</v>
      </c>
      <c r="G18" s="17" t="str">
        <v>Acuerdo con el museo, ensayo acústico y traslado real.</v>
      </c>
      <c r="H18" s="2"/>
    </row>
    <row r="19" ht="82" customHeight="1">
      <c r="A19" s="2"/>
      <c r="B19" s="16" t="str">
        <v>E09</v>
      </c>
      <c r="C19" s="16" t="str">
        <v>La Foncalada</v>
      </c>
      <c r="D19" s="16" t="str">
        <v>Alternativa de final</v>
      </c>
      <c r="E19" s="16" t="str">
        <v>Agua sobre acero</v>
      </c>
      <c r="F19" s="16" t="str">
        <v>Pieza sonora autónoma, sin intervenir en el monumento; ondas iluminadas hasta una última gota.</v>
      </c>
      <c r="G19" s="16" t="str">
        <v>Validar emplazamiento, ruido, lluvia y traslado.</v>
      </c>
      <c r="H19" s="2"/>
    </row>
    <row r="20" ht="82" customHeight="1">
      <c r="A20" s="2"/>
      <c r="B20" s="17" t="str">
        <v>E10</v>
      </c>
      <c r="C20" s="17" t="str">
        <v>Local junto a La Vega</v>
      </c>
      <c r="D20" s="17" t="str">
        <v>Alternativa de final</v>
      </c>
      <c r="E20" s="17" t="str">
        <v>Una obra que continúa</v>
      </c>
      <c r="F20" s="17" t="str">
        <v>Buscar local con escaparate o entrada visible en Campo de la Vega o Tenderina Alta. No hay inmueble elegido.</v>
      </c>
      <c r="G20" s="17" t="str">
        <v>Localizar espacio, acordar uso, ensayar y sostener un proceso real.</v>
      </c>
      <c r="H20" s="2"/>
    </row>
    <row r="21" ht="82" customHeight="1">
      <c r="A21" s="2"/>
      <c r="B21" s="16" t="str">
        <v>E11</v>
      </c>
      <c r="C21" s="16" t="str">
        <v>Santullano</v>
      </c>
      <c r="D21" s="16" t="str">
        <v>Idea explorada</v>
      </c>
      <c r="E21" s="16" t="str">
        <v>Voz interior y danza exterior</v>
      </c>
      <c r="F21" s="16" t="str">
        <v>Se estudió una pieza vocal interior y un solo exterior. Fuera de las tres alternativas actuales.</v>
      </c>
      <c r="G21" s="16" t="str">
        <v>Solo reconsiderar con acuerdo específico y comprobación de horarios.</v>
      </c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</hyperlinks>
  <pageMargins left="0.7" right="0.7" top="0.75" bottom="0.75" header="0.3" footer="0.3"/>
  <tableParts count="1">
    <tablePart r:id="Rb84e4317ef3446dd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839E"/>
  </sheetPr>
  <sheetViews>
    <sheetView showGridLines="0" workbookViewId="0">
      <pane ySplit="10" topLeftCell="A11" activePane="bottomLeft" state="frozen"/>
    </sheetView>
  </sheetViews>
  <sheetFormatPr defaultRowHeight="15"/>
  <cols>
    <col min="1" max="1" width="3" hidden="0" customWidth="1"/>
    <col min="2" max="2" width="9" hidden="0" customWidth="1"/>
    <col min="3" max="3" width="30" hidden="0" customWidth="1"/>
    <col min="4" max="4" width="20" hidden="0" customWidth="1"/>
    <col min="5" max="5" width="30" hidden="0" customWidth="1"/>
    <col min="6" max="6" width="53" hidden="0" customWidth="1"/>
    <col min="7" max="7" width="22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Recorrido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9" t="str">
        <v>Inicio</v>
      </c>
      <c r="C6" s="9" t="str">
        <v>Espacios</v>
      </c>
      <c r="D6" s="7" t="str">
        <v>Recorrido</v>
      </c>
      <c r="E6" s="9" t="str">
        <v>Contactos</v>
      </c>
      <c r="F6" s="9" t="str">
        <v>Boceto</v>
      </c>
      <c r="G6" s="9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 ht="32" customHeight="1">
      <c r="A10" s="2"/>
      <c r="B10" s="15" t="str">
        <v>Orden</v>
      </c>
      <c r="C10" s="15" t="str">
        <v>Parada</v>
      </c>
      <c r="D10" s="15" t="str">
        <v>Espacio ID</v>
      </c>
      <c r="E10" s="15" t="str">
        <v>Sentido</v>
      </c>
      <c r="F10" s="15" t="str">
        <v>Acción</v>
      </c>
      <c r="G10" s="15" t="str">
        <v>Estado</v>
      </c>
      <c r="H10" s="2"/>
    </row>
    <row r="11" ht="62" customHeight="1">
      <c r="A11" s="2"/>
      <c r="B11" s="16" t="n">
        <v>1</v>
      </c>
      <c r="C11" s="16" t="str">
        <v>Las Caldas</v>
      </c>
      <c r="D11" s="16" t="str">
        <v>E01</v>
      </c>
      <c r="E11" s="16" t="str">
        <v>Ruralidad y agua</v>
      </c>
      <c r="F11" s="16" t="str">
        <v>Centro social, residencia y lavadero; conexión en bicicleta posible.</v>
      </c>
      <c r="G11" s="16" t="str">
        <v>Pendiente</v>
      </c>
      <c r="H11" s="2"/>
    </row>
    <row r="12" ht="62" customHeight="1">
      <c r="A12" s="2"/>
      <c r="B12" s="17" t="n">
        <v>2</v>
      </c>
      <c r="C12" s="17" t="str">
        <v>Tren de memoria</v>
      </c>
      <c r="D12" s="17" t="str">
        <v>E02</v>
      </c>
      <c r="E12" s="17" t="str">
        <v>Desplazarse también cuenta</v>
      </c>
      <c r="F12" s="17" t="str">
        <v>Relatos, artistas y músicas incorporados al trayecto.</v>
      </c>
      <c r="G12" s="17" t="str">
        <v>Pendiente</v>
      </c>
      <c r="H12" s="2"/>
    </row>
    <row r="13" ht="62" customHeight="1">
      <c r="A13" s="2"/>
      <c r="B13" s="16" t="n">
        <v>3</v>
      </c>
      <c r="C13" s="16" t="str">
        <v>Mieres / Pozo Santa Bárbara</v>
      </c>
      <c r="D13" s="16" t="str">
        <v>E03</v>
      </c>
      <c r="E13" s="16" t="str">
        <v>Memoria industrial</v>
      </c>
      <c r="F13" s="16" t="str">
        <v>Memoria minera y reconversión cultural.</v>
      </c>
      <c r="G13" s="16" t="str">
        <v>Pendiente</v>
      </c>
      <c r="H13" s="2"/>
    </row>
    <row r="14" ht="62" customHeight="1">
      <c r="A14" s="2"/>
      <c r="B14" s="17" t="n">
        <v>4</v>
      </c>
      <c r="C14" s="17" t="str">
        <v>Naranco</v>
      </c>
      <c r="D14" s="17" t="str">
        <v>E04</v>
      </c>
      <c r="E14" s="17" t="str">
        <v>Montaña y mirada</v>
      </c>
      <c r="F14" s="17" t="str">
        <v>Encuentro de arte, ciencia, tradición y oralidad.</v>
      </c>
      <c r="G14" s="17" t="str">
        <v>Pendiente</v>
      </c>
      <c r="H14" s="2"/>
    </row>
    <row r="15" ht="62" customHeight="1">
      <c r="A15" s="2"/>
      <c r="B15" s="16" t="n">
        <v>5</v>
      </c>
      <c r="C15" s="16" t="str">
        <v>Comida en Rúa 13</v>
      </c>
      <c r="D15" s="16" t="str">
        <v>E05</v>
      </c>
      <c r="E15" s="16" t="str">
        <v>Mesa y hospitalidad</v>
      </c>
      <c r="F15" s="16" t="str">
        <v>Descansar y conversar sin presentación añadida.</v>
      </c>
      <c r="G15" s="16" t="str">
        <v>Pendiente</v>
      </c>
      <c r="H15" s="2"/>
    </row>
    <row r="16" ht="62" customHeight="1">
      <c r="A16" s="2"/>
      <c r="B16" s="17" t="n">
        <v>6</v>
      </c>
      <c r="C16" s="17" t="str">
        <v>Centro histórico</v>
      </c>
      <c r="D16" s="17" t="str">
        <v>E06</v>
      </c>
      <c r="E16" s="17" t="str">
        <v>Ciudad y patrimonio</v>
      </c>
      <c r="F16" s="17" t="str">
        <v>Selección breve ligada al relato.</v>
      </c>
      <c r="G16" s="17" t="str">
        <v>Pendiente</v>
      </c>
      <c r="H16" s="2"/>
    </row>
    <row r="17" ht="62" customHeight="1">
      <c r="A17" s="2"/>
      <c r="B17" s="16" t="n">
        <v>7</v>
      </c>
      <c r="C17" s="16" t="str">
        <v>La Vega</v>
      </c>
      <c r="D17" s="16" t="str">
        <v>E07</v>
      </c>
      <c r="E17" s="16" t="str">
        <v>Futuros compartidos</v>
      </c>
      <c r="F17" s="16" t="str">
        <v>Clímax colectivo; infancia y migración transversales.</v>
      </c>
      <c r="G17" s="16" t="str">
        <v>Pendiente</v>
      </c>
      <c r="H17" s="2"/>
    </row>
    <row r="18" ht="62" customHeight="1">
      <c r="A18" s="2"/>
      <c r="B18" s="17" t="n">
        <v>8</v>
      </c>
      <c r="C18" s="17" t="str">
        <v>Epílogo</v>
      </c>
      <c r="D18" s="17" t="str">
        <v>E08 / E09 / E10</v>
      </c>
      <c r="E18" s="17" t="str">
        <v>Atención concentrada</v>
      </c>
      <c r="F18" s="17" t="str">
        <v>Un lugar nuevo, una imagen y una acción breve, sin discurso posterior.</v>
      </c>
      <c r="G18" s="17" t="str">
        <v>Por elegir</v>
      </c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</hyperlinks>
  <pageMargins left="0.7" right="0.7" top="0.75" bottom="0.75" header="0.3" footer="0.3"/>
  <tableParts count="1">
    <tablePart r:id="R276af08aa6e34a46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839E"/>
  </sheetPr>
  <sheetViews>
    <sheetView showGridLines="0" workbookViewId="0">
      <pane ySplit="10" topLeftCell="A11" activePane="bottomLeft" state="frozen"/>
    </sheetView>
  </sheetViews>
  <sheetFormatPr defaultRowHeight="15"/>
  <cols>
    <col min="1" max="1" width="3" hidden="0" customWidth="1"/>
    <col min="2" max="2" width="9" hidden="0" customWidth="1"/>
    <col min="3" max="3" width="35" hidden="0" customWidth="1"/>
    <col min="4" max="4" width="31" hidden="0" customWidth="1"/>
    <col min="5" max="5" width="31" hidden="0" customWidth="1"/>
    <col min="6" max="6" width="37" hidden="0" customWidth="1"/>
    <col min="7" max="7" width="27" hidden="0" customWidth="1"/>
    <col min="8" max="8" width="52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Contactos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9" t="str">
        <v>Inicio</v>
      </c>
      <c r="C6" s="9" t="str">
        <v>Espacios</v>
      </c>
      <c r="D6" s="9" t="str">
        <v>Recorrido</v>
      </c>
      <c r="E6" s="7" t="str">
        <v>Contactos</v>
      </c>
      <c r="F6" s="9" t="str">
        <v>Boceto</v>
      </c>
      <c r="G6" s="9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 ht="32" customHeight="1">
      <c r="A10" s="2"/>
      <c r="B10" s="15" t="str">
        <v>ID</v>
      </c>
      <c r="C10" s="15" t="str">
        <v>Persona o agente</v>
      </c>
      <c r="D10" s="15" t="str">
        <v>Función propuesta</v>
      </c>
      <c r="E10" s="15" t="str">
        <v>Ámbito</v>
      </c>
      <c r="F10" s="15" t="str">
        <v>Email</v>
      </c>
      <c r="G10" s="15" t="str">
        <v>Estado</v>
      </c>
      <c r="H10" s="15" t="str">
        <v>Siguiente paso</v>
      </c>
    </row>
    <row r="11" ht="82" customHeight="1">
      <c r="A11" s="2"/>
      <c r="B11" s="16" t="str">
        <v>C01</v>
      </c>
      <c r="C11" s="16" t="str">
        <v>Adrián Vega</v>
      </c>
      <c r="D11" s="16" t="str">
        <v>Coordinación de materiales</v>
      </c>
      <c r="E11" s="16" t="str">
        <v>General</v>
      </c>
      <c r="F11" s="16" t="str">
        <v>adrianvega.info@gmail.com</v>
      </c>
      <c r="G11" s="16" t="str">
        <v>Correo verificado</v>
      </c>
      <c r="H11" s="16" t="str">
        <v>Remitente de los materiales; la función operativa debe acordarse.</v>
      </c>
    </row>
    <row r="12" ht="82" customHeight="1">
      <c r="A12" s="2"/>
      <c r="B12" s="17" t="str">
        <v>C02</v>
      </c>
      <c r="C12" s="17" t="str">
        <v>Asturias ConBici / Masa Crítica</v>
      </c>
      <c r="D12" s="17" t="str">
        <v>Conexión en bicicleta</v>
      </c>
      <c r="E12" s="17" t="str">
        <v>Las Caldas / recorrido</v>
      </c>
      <c r="F12" s="17" t="str"/>
      <c r="G12" s="17" t="str">
        <v>Participación propuesta</v>
      </c>
      <c r="H12" s="17" t="str">
        <v>Confirmar interlocución y recorrido.</v>
      </c>
    </row>
    <row r="13" ht="82" customHeight="1">
      <c r="A13" s="2"/>
      <c r="B13" s="16" t="str">
        <v>C03</v>
      </c>
      <c r="C13" s="16" t="str">
        <v>Coro Minero de Turón</v>
      </c>
      <c r="D13" s="16" t="str">
        <v>Voces</v>
      </c>
      <c r="E13" s="16" t="str">
        <v>Mieres / Pozo Santa Bárbara</v>
      </c>
      <c r="F13" s="16" t="str"/>
      <c r="G13" s="16" t="str">
        <v>Participación propuesta</v>
      </c>
      <c r="H13" s="16" t="str">
        <v>Contactar y concretar intervención.</v>
      </c>
    </row>
    <row r="14" ht="82" customHeight="1">
      <c r="A14" s="2"/>
      <c r="B14" s="17" t="str">
        <v>C04</v>
      </c>
      <c r="C14" s="17" t="str">
        <v>Gaiteros del Carbón</v>
      </c>
      <c r="D14" s="17" t="str">
        <v>Música</v>
      </c>
      <c r="E14" s="17" t="str">
        <v>Mieres / Pozo Santa Bárbara</v>
      </c>
      <c r="F14" s="17" t="str"/>
      <c r="G14" s="17" t="str">
        <v>Participación propuesta</v>
      </c>
      <c r="H14" s="17" t="str">
        <v>Contactar y concretar intervención.</v>
      </c>
    </row>
    <row r="15" ht="82" customHeight="1">
      <c r="A15" s="2"/>
      <c r="B15" s="16" t="str">
        <v>C05</v>
      </c>
      <c r="C15" s="16" t="str">
        <v>Marisa Valle Roso</v>
      </c>
      <c r="D15" s="16" t="str">
        <v>Música / voz</v>
      </c>
      <c r="E15" s="16" t="str">
        <v>Mieres / Pozo Santa Bárbara</v>
      </c>
      <c r="F15" s="16" t="str"/>
      <c r="G15" s="16" t="str">
        <v>Participación propuesta</v>
      </c>
      <c r="H15" s="16" t="str">
        <v>Contactar y comprobar disponibilidad.</v>
      </c>
    </row>
    <row r="16" ht="82" customHeight="1">
      <c r="A16" s="2"/>
      <c r="B16" s="17" t="str">
        <v>C06</v>
      </c>
      <c r="C16" s="17" t="str">
        <v>Carlos Sotín</v>
      </c>
      <c r="D16" s="17" t="str">
        <v>Arte, ciencia u oralidad</v>
      </c>
      <c r="E16" s="17" t="str">
        <v>Naranco</v>
      </c>
      <c r="F16" s="17" t="str"/>
      <c r="G16" s="17" t="str">
        <v>Nombre por verificar</v>
      </c>
      <c r="H16" s="17" t="str">
        <v>Verificar nombre y función exacta.</v>
      </c>
    </row>
    <row r="17" ht="82" customHeight="1">
      <c r="A17" s="2"/>
      <c r="B17" s="16" t="str">
        <v>C07</v>
      </c>
      <c r="C17" s="16" t="str">
        <v>Alicia Villanueva</v>
      </c>
      <c r="D17" s="16" t="str">
        <v>Arte, ciencia u oralidad</v>
      </c>
      <c r="E17" s="16" t="str">
        <v>Naranco</v>
      </c>
      <c r="F17" s="16" t="str"/>
      <c r="G17" s="16" t="str">
        <v>Participación propuesta</v>
      </c>
      <c r="H17" s="16" t="str">
        <v>Verificar función y disponibilidad.</v>
      </c>
    </row>
    <row r="18" ht="82" customHeight="1">
      <c r="A18" s="2"/>
      <c r="B18" s="17" t="str">
        <v>C08</v>
      </c>
      <c r="C18" s="17" t="str">
        <v>Luz Cristóbal</v>
      </c>
      <c r="D18" s="17" t="str">
        <v>Arte, ciencia u oralidad</v>
      </c>
      <c r="E18" s="17" t="str">
        <v>Naranco</v>
      </c>
      <c r="F18" s="17" t="str"/>
      <c r="G18" s="17" t="str">
        <v>Participación propuesta</v>
      </c>
      <c r="H18" s="17" t="str">
        <v>Verificar función y disponibilidad.</v>
      </c>
    </row>
    <row r="19" ht="82" customHeight="1">
      <c r="A19" s="2"/>
      <c r="B19" s="16" t="str">
        <v>C09</v>
      </c>
      <c r="C19" s="16" t="str">
        <v>Tres cocineros por identificar</v>
      </c>
      <c r="D19" s="16" t="str">
        <v>Gastronomía</v>
      </c>
      <c r="E19" s="16" t="str">
        <v>Rúa 13</v>
      </c>
      <c r="F19" s="16" t="str"/>
      <c r="G19" s="16" t="str">
        <v>Por identificar</v>
      </c>
      <c r="H19" s="16" t="str">
        <v>Identificar responsables y propuesta.</v>
      </c>
    </row>
    <row r="20" ht="82" customHeight="1">
      <c r="A20" s="2"/>
      <c r="B20" s="17" t="str">
        <v>C10</v>
      </c>
      <c r="C20" s="17" t="str">
        <v>Museo Arqueológico: interlocutor por identificar</v>
      </c>
      <c r="D20" s="17" t="str">
        <v>Uso artístico del claustro</v>
      </c>
      <c r="E20" s="17" t="str">
        <v>Final A</v>
      </c>
      <c r="F20" s="17" t="str"/>
      <c r="G20" s="17" t="str">
        <v>Por identificar</v>
      </c>
      <c r="H20" s="17" t="str">
        <v>Consultar disponibilidad y condiciones.</v>
      </c>
    </row>
    <row r="21" ht="82" customHeight="1">
      <c r="A21" s="2"/>
      <c r="B21" s="16" t="str">
        <v>C11</v>
      </c>
      <c r="C21" s="16" t="str">
        <v>Artista sonora por identificar</v>
      </c>
      <c r="D21" s="16" t="str">
        <v>Agua y acero</v>
      </c>
      <c r="E21" s="16" t="str">
        <v>Final B</v>
      </c>
      <c r="F21" s="16" t="str"/>
      <c r="G21" s="16" t="str">
        <v>Por identificar</v>
      </c>
      <c r="H21" s="16" t="str">
        <v>Definir autoría, pieza y necesidades.</v>
      </c>
    </row>
    <row r="22" ht="82" customHeight="1">
      <c r="A22" s="2"/>
      <c r="B22" s="17" t="str">
        <v>C12</v>
      </c>
      <c r="C22" s="17" t="str">
        <v>Seis intérpretes por identificar</v>
      </c>
      <c r="D22" s="17" t="str">
        <v>Creación con tejido</v>
      </c>
      <c r="E22" s="17" t="str">
        <v>Final C</v>
      </c>
      <c r="F22" s="17" t="str"/>
      <c r="G22" s="17" t="str">
        <v>Por identificar</v>
      </c>
      <c r="H22" s="17" t="str">
        <v>Definir autoría, reparto y continuidad.</v>
      </c>
    </row>
    <row r="23" ht="82" customHeight="1">
      <c r="A23" s="2"/>
      <c r="B23" s="16" t="str">
        <v>C13</v>
      </c>
      <c r="C23" s="16" t="str">
        <v>Responsable del local por identificar</v>
      </c>
      <c r="D23" s="16" t="str">
        <v>Cesión del espacio</v>
      </c>
      <c r="E23" s="16" t="str">
        <v>Final C</v>
      </c>
      <c r="F23" s="16" t="str"/>
      <c r="G23" s="16" t="str">
        <v>Por identificar</v>
      </c>
      <c r="H23" s="16" t="str">
        <v>Buscar inmueble y acordar uso.</v>
      </c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conditionalFormatting sqref="G11:G23">
    <cfRule type="containsText" dxfId="0" priority="1" operator="containsText" text="Confirmado"/>
    <cfRule type="containsText" dxfId="1" priority="2" operator="containsText" text="Por identificar"/>
  </conditionalFormatting>
  <dataValidations count="1">
    <dataValidation type="list" sqref="G11:G23">
      <formula1>"Correo verificado,Participación propuesta,Nombre por verificar,Por identificar,Contactado,Confirmado,Descartado"</formula1>
    </dataValidation>
  </dataValidations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</hyperlinks>
  <pageMargins left="0.7" right="0.7" top="0.75" bottom="0.75" header="0.3" footer="0.3"/>
  <tableParts count="1">
    <tablePart r:id="Rfbad9e41e1744c8f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9839E"/>
  </sheetPr>
  <sheetViews>
    <sheetView showGridLines="0" workbookViewId="0">
      <pane ySplit="10" topLeftCell="A11" activePane="bottomLeft" state="frozen"/>
    </sheetView>
  </sheetViews>
  <sheetFormatPr defaultRowHeight="15"/>
  <cols>
    <col min="1" max="1" width="3" hidden="0" customWidth="1"/>
    <col min="2" max="2" width="24" hidden="0" customWidth="1"/>
    <col min="3" max="3" width="35" hidden="0" customWidth="1"/>
    <col min="4" max="4" width="100" hidden="0" customWidth="1"/>
    <col min="5" max="5" width="25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Boceto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9" t="str">
        <v>Inicio</v>
      </c>
      <c r="C6" s="9" t="str">
        <v>Espacios</v>
      </c>
      <c r="D6" s="9" t="str">
        <v>Recorrido</v>
      </c>
      <c r="E6" s="9" t="str">
        <v>Contactos</v>
      </c>
      <c r="F6" s="7" t="str">
        <v>Boceto</v>
      </c>
      <c r="G6" s="9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 ht="32" customHeight="1">
      <c r="A10" s="2"/>
      <c r="B10" s="15" t="str">
        <v>Bloque</v>
      </c>
      <c r="C10" s="15" t="str">
        <v>Idea</v>
      </c>
      <c r="D10" s="15" t="str">
        <v>Desarrollo</v>
      </c>
      <c r="E10" s="15" t="str">
        <v>Situación</v>
      </c>
      <c r="F10" s="2"/>
      <c r="G10" s="2"/>
      <c r="H10" s="2"/>
    </row>
    <row r="11" ht="82" customHeight="1">
      <c r="A11" s="2"/>
      <c r="B11" s="16" t="str">
        <v>Relato</v>
      </c>
      <c r="C11" s="16" t="str">
        <v>Dramaturgia territorial de un día</v>
      </c>
      <c r="D11" s="16" t="str">
        <v>Ruralidad, agua, memoria industrial, patrimonio, ciencia, oralidad, gastronomía, comunidad y futuro. Los desplazamientos forman parte del relato.</v>
      </c>
      <c r="E11" s="16" t="str">
        <v>Propuesta</v>
      </c>
      <c r="F11" s="2"/>
      <c r="G11" s="2"/>
      <c r="H11" s="2"/>
    </row>
    <row r="12" ht="82" customHeight="1">
      <c r="A12" s="2"/>
      <c r="B12" s="17" t="str">
        <v>Transversalidades</v>
      </c>
      <c r="C12" s="17" t="str">
        <v>Infancia y migración</v>
      </c>
      <c r="D12" s="17" t="str">
        <v>Atraviesan el día y mantienen autoría y protagonismo; evitar presentarlas como símbolos o bloques separados.</v>
      </c>
      <c r="E12" s="17" t="str">
        <v>Criterio</v>
      </c>
      <c r="F12" s="2"/>
      <c r="G12" s="2"/>
      <c r="H12" s="2"/>
    </row>
    <row r="13" ht="82" customHeight="1">
      <c r="A13" s="2"/>
      <c r="B13" s="16" t="str">
        <v>Epílogo</v>
      </c>
      <c r="C13" s="16" t="str">
        <v>Una sola imagen</v>
      </c>
      <c r="D13" s="16" t="str">
        <v>Después de La Vega, una acción de cuatro a seis minutos, acompañamiento reducido y sin discurso posterior.</v>
      </c>
      <c r="E13" s="16" t="str">
        <v>Criterio</v>
      </c>
      <c r="F13" s="2"/>
      <c r="G13" s="2"/>
      <c r="H13" s="2"/>
    </row>
    <row r="14" ht="82" customHeight="1">
      <c r="A14" s="2"/>
      <c r="B14" s="17" t="str">
        <v>Final A</v>
      </c>
      <c r="C14" s="17" t="str">
        <v>La última resonancia</v>
      </c>
      <c r="D14" s="17" t="str">
        <v>Cuatro voces durante cinco minutos. Una voz de la mañana podría reaparecer con otro material. Emoción, tiempo largo y silencio.</v>
      </c>
      <c r="E14" s="17" t="str">
        <v>Alternativa</v>
      </c>
      <c r="F14" s="2"/>
      <c r="G14" s="2"/>
      <c r="H14" s="2"/>
    </row>
    <row r="15" ht="82" customHeight="1">
      <c r="A15" s="2"/>
      <c r="B15" s="16" t="str">
        <v>Final B</v>
      </c>
      <c r="C15" s="16" t="str">
        <v>Agua sobre acero</v>
      </c>
      <c r="D15" s="16" t="str">
        <v>Cinco minutos de golpes, gotas y vibraciones sobre una pieza autónoma. Última imagen: algo mínimo modifica toda la superficie.</v>
      </c>
      <c r="E15" s="16" t="str">
        <v>Alternativa</v>
      </c>
      <c r="F15" s="2"/>
      <c r="G15" s="2"/>
      <c r="H15" s="2"/>
    </row>
    <row r="16" ht="82" customHeight="1">
      <c r="A16" s="2"/>
      <c r="B16" s="17" t="str">
        <v>Final C</v>
      </c>
      <c r="C16" s="17" t="str">
        <v>Una obra que continúa</v>
      </c>
      <c r="D16" s="17" t="str">
        <v>Seis intérpretes sostienen, tensan, pliegan y transfieren una banda de tejido. Empieza antes de la llegada y continúa tras la salida; integrar en residencia real.</v>
      </c>
      <c r="E16" s="17" t="str">
        <v>Alternativa</v>
      </c>
      <c r="F16" s="2"/>
      <c r="G16" s="2"/>
      <c r="H16" s="2"/>
    </row>
    <row r="17" ht="82" customHeight="1">
      <c r="A17" s="2"/>
      <c r="B17" s="16" t="str">
        <v>Otras ideas</v>
      </c>
      <c r="C17" s="16" t="str">
        <v>Mecanismos explorados</v>
      </c>
      <c r="D17" s="16" t="str">
        <v>Coro invisible con auriculares, superficie translúcida que revela la ciudad y taller cotidiano que continúa. No implican añadir paradas.</v>
      </c>
      <c r="E17" s="16" t="str">
        <v>Explorado</v>
      </c>
      <c r="F17" s="2"/>
      <c r="G17" s="2"/>
      <c r="H17" s="2"/>
    </row>
    <row r="18" ht="82" customHeight="1">
      <c r="A18" s="2"/>
      <c r="B18" s="17" t="str">
        <v>Valoración enviada</v>
      </c>
      <c r="C18" s="17" t="str">
        <v>6,5 sobre 10</v>
      </c>
      <c r="D18" s="17" t="str">
        <v>Valoración orientativa del boceto desde la perspectiva de un jurado, no de toda la candidatura. Destaca agua, memoria industrial y creación.</v>
      </c>
      <c r="E18" s="17" t="str">
        <v>Crítica enviada</v>
      </c>
      <c r="F18" s="2"/>
      <c r="G18" s="2"/>
      <c r="H18" s="2"/>
    </row>
    <row r="19" ht="82" customHeight="1">
      <c r="A19" s="2"/>
      <c r="B19" s="16" t="str">
        <v>Revisión</v>
      </c>
      <c r="C19" s="16" t="str">
        <v>Tesis y Amabilidá</v>
      </c>
      <c r="D19" s="16" t="str">
        <v>Precisar qué transformación demuestra cada parada y hacer explícita su relación con el concepto de la candidatura.</v>
      </c>
      <c r="E19" s="16" t="str">
        <v>Por desarrollar</v>
      </c>
      <c r="F19" s="2"/>
      <c r="G19" s="2"/>
      <c r="H19" s="2"/>
    </row>
    <row r="20" ht="82" customHeight="1">
      <c r="A20" s="2"/>
      <c r="B20" s="17" t="str">
        <v>Revisión</v>
      </c>
      <c r="C20" s="17" t="str">
        <v>Dimensión europea</v>
      </c>
      <c r="D20" s="17" t="str">
        <v>Hacer visibles colaboraciones, coproducciones o procesos compartidos concretos.</v>
      </c>
      <c r="E20" s="17" t="str">
        <v>Por desarrollar</v>
      </c>
      <c r="F20" s="2"/>
      <c r="G20" s="2"/>
      <c r="H20" s="2"/>
    </row>
    <row r="21" ht="82" customHeight="1">
      <c r="A21" s="2"/>
      <c r="B21" s="16" t="str">
        <v>Revisión</v>
      </c>
      <c r="C21" s="16" t="str">
        <v>Tiempo para escuchar</v>
      </c>
      <c r="D21" s="16" t="str">
        <v>Reducir saturación y reservar preguntas y encuentros espontáneos. Distinguir imprescindible, sustituible y prescindible.</v>
      </c>
      <c r="E21" s="16" t="str">
        <v>Por desarrollar</v>
      </c>
      <c r="F21" s="2"/>
      <c r="G21" s="2"/>
      <c r="H21" s="2"/>
    </row>
    <row r="22" ht="82" customHeight="1">
      <c r="A22" s="2"/>
      <c r="B22" s="17" t="str">
        <v>Revisión</v>
      </c>
      <c r="C22" s="17" t="str">
        <v>Participación con decisión</v>
      </c>
      <c r="D22" s="17" t="str">
        <v>Mostrar qué proponen y deciden las personas participantes y cómo continúa su trabajo.</v>
      </c>
      <c r="E22" s="17" t="str">
        <v>Por desarrollar</v>
      </c>
      <c r="F22" s="2"/>
      <c r="G22" s="2"/>
      <c r="H22" s="2"/>
    </row>
    <row r="23" ht="82" customHeight="1">
      <c r="A23" s="2"/>
      <c r="B23" s="16" t="str">
        <v>Revisión</v>
      </c>
      <c r="C23" s="16" t="str">
        <v>Preferencia de la crítica</v>
      </c>
      <c r="D23" s="16" t="str">
        <v>La crítica favorece el local si forma parte de un proceso real. No constituye una selección acordada.</v>
      </c>
      <c r="E23" s="16" t="str">
        <v>Por decidir</v>
      </c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</hyperlinks>
  <pageMargins left="0.7" right="0.7" top="0.75" bottom="0.75" header="0.3" footer="0.3"/>
  <tableParts count="1">
    <tablePart r:id="Rdae0282d677342a8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94B73"/>
  </sheetPr>
  <sheetViews>
    <sheetView showGridLines="0" workbookViewId="0">
      <pane ySplit="10" topLeftCell="A11" activePane="bottomLeft" state="frozen"/>
    </sheetView>
  </sheetViews>
  <sheetFormatPr defaultRowHeight="15"/>
  <cols>
    <col min="1" max="1" width="3" hidden="0" customWidth="1"/>
    <col min="2" max="2" width="9" hidden="0" customWidth="1"/>
    <col min="3" max="3" width="34" hidden="0" customWidth="1"/>
    <col min="4" max="4" width="20" hidden="0" customWidth="1"/>
    <col min="5" max="5" width="20" hidden="0" customWidth="1"/>
    <col min="6" max="6" width="20" hidden="0" customWidth="1"/>
    <col min="7" max="7" width="69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tr">
        <v>Oviedo 2031</v>
      </c>
      <c r="C2" s="2"/>
      <c r="D2" s="2"/>
      <c r="E2" s="2"/>
      <c r="F2" s="2"/>
      <c r="G2" s="2"/>
      <c r="H2" s="2"/>
    </row>
    <row r="3">
      <c r="A3" s="2"/>
      <c r="B3" s="4" t="str">
        <v>Timeline</v>
      </c>
      <c r="C3" s="2"/>
      <c r="D3" s="2"/>
      <c r="E3" s="2"/>
      <c r="F3" s="2"/>
      <c r="G3" s="2"/>
      <c r="H3" s="2"/>
    </row>
    <row r="4">
      <c r="A4" s="2"/>
      <c r="B4" s="5"/>
      <c r="C4" s="5"/>
      <c r="D4" s="5"/>
      <c r="E4" s="5"/>
      <c r="F4" s="5"/>
      <c r="G4" s="5"/>
      <c r="H4" s="5"/>
    </row>
    <row r="5">
      <c r="A5" s="2"/>
      <c r="B5" s="2"/>
      <c r="C5" s="2"/>
      <c r="D5" s="2"/>
      <c r="E5" s="2"/>
      <c r="F5" s="2"/>
      <c r="G5" s="2"/>
      <c r="H5" s="2"/>
    </row>
    <row r="6" ht="28" customHeight="1">
      <c r="A6" s="2"/>
      <c r="B6" s="9" t="str">
        <v>Inicio</v>
      </c>
      <c r="C6" s="9" t="str">
        <v>Espacios</v>
      </c>
      <c r="D6" s="9" t="str">
        <v>Recorrido</v>
      </c>
      <c r="E6" s="9" t="str">
        <v>Contactos</v>
      </c>
      <c r="F6" s="9" t="str">
        <v>Boceto</v>
      </c>
      <c r="G6" s="7" t="str">
        <v>Timeline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10" t="str">
        <v>27 de noviembre · año por confirmar</v>
      </c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 ht="32" customHeight="1">
      <c r="A10" s="2"/>
      <c r="B10" s="15" t="str">
        <v>Orden</v>
      </c>
      <c r="C10" s="15" t="str">
        <v>Tramo</v>
      </c>
      <c r="D10" s="15" t="str">
        <v>Inicio</v>
      </c>
      <c r="E10" s="15" t="str">
        <v>Fin</v>
      </c>
      <c r="F10" s="15" t="str">
        <v>Minutos</v>
      </c>
      <c r="G10" s="15" t="str">
        <v>Condición</v>
      </c>
      <c r="H10" s="2"/>
    </row>
    <row r="11" ht="40" customHeight="1">
      <c r="A11" s="2"/>
      <c r="B11" s="16" t="n">
        <v>1</v>
      </c>
      <c r="C11" s="16" t="str">
        <v>Las Caldas</v>
      </c>
      <c r="D11" s="22"/>
      <c r="E11" s="22"/>
      <c r="F11" s="20" t="str">
        <f>IF(OR(D11="",E11=""),"",(E11-D11)*1440)</f>
      </c>
      <c r="G11" s="16" t="str">
        <v>Inicio probable; hora por definir</v>
      </c>
      <c r="H11" s="2"/>
    </row>
    <row r="12" ht="40" customHeight="1">
      <c r="A12" s="2"/>
      <c r="B12" s="17" t="n">
        <v>2</v>
      </c>
      <c r="C12" s="17" t="str">
        <v>Tren de memoria</v>
      </c>
      <c r="D12" s="22"/>
      <c r="E12" s="22"/>
      <c r="F12" s="21" t="str">
        <f>IF(OR(D12="",E12=""),"",(E12-D12)*1440)</f>
      </c>
      <c r="G12" s="17" t="str">
        <v>Operación y tiempos por concretar</v>
      </c>
      <c r="H12" s="2"/>
    </row>
    <row r="13" ht="40" customHeight="1">
      <c r="A13" s="2"/>
      <c r="B13" s="16" t="n">
        <v>3</v>
      </c>
      <c r="C13" s="16" t="str">
        <v>Mieres / Pozo Santa Bárbara</v>
      </c>
      <c r="D13" s="22"/>
      <c r="E13" s="22"/>
      <c r="F13" s="20" t="str">
        <f>IF(OR(D13="",E13=""),"",(E13-D13)*1440)</f>
      </c>
      <c r="G13" s="16" t="str">
        <v>Duración y traslado por cronometrar</v>
      </c>
      <c r="H13" s="2"/>
    </row>
    <row r="14" ht="40" customHeight="1">
      <c r="A14" s="2"/>
      <c r="B14" s="17" t="n">
        <v>4</v>
      </c>
      <c r="C14" s="17" t="str">
        <v>Naranco</v>
      </c>
      <c r="D14" s="22"/>
      <c r="E14" s="22"/>
      <c r="F14" s="21" t="str">
        <f>IF(OR(D14="",E14=""),"",(E14-D14)*1440)</f>
      </c>
      <c r="G14" s="17" t="str">
        <v>Paseo y encuentro por cronometrar</v>
      </c>
      <c r="H14" s="2"/>
    </row>
    <row r="15" ht="40" customHeight="1">
      <c r="A15" s="2"/>
      <c r="B15" s="16" t="n">
        <v>5</v>
      </c>
      <c r="C15" s="16" t="str">
        <v>Comida en Rúa 13</v>
      </c>
      <c r="D15" s="22"/>
      <c r="E15" s="22"/>
      <c r="F15" s="20" t="str">
        <f>IF(OR(D15="",E15=""),"",(E15-D15)*1440)</f>
      </c>
      <c r="G15" s="16" t="str">
        <v>Reservar descanso y conversación</v>
      </c>
      <c r="H15" s="2"/>
    </row>
    <row r="16" ht="40" customHeight="1">
      <c r="A16" s="2"/>
      <c r="B16" s="17" t="n">
        <v>6</v>
      </c>
      <c r="C16" s="17" t="str">
        <v>Centro histórico</v>
      </c>
      <c r="D16" s="22"/>
      <c r="E16" s="22"/>
      <c r="F16" s="21" t="str">
        <f>IF(OR(D16="",E16=""),"",(E16-D16)*1440)</f>
      </c>
      <c r="G16" s="17" t="str">
        <v>Selección breve; tiempos por definir</v>
      </c>
      <c r="H16" s="2"/>
    </row>
    <row r="17" ht="40" customHeight="1">
      <c r="A17" s="2"/>
      <c r="B17" s="16" t="n">
        <v>7</v>
      </c>
      <c r="C17" s="16" t="str">
        <v>La Vega</v>
      </c>
      <c r="D17" s="22"/>
      <c r="E17" s="22" t="n">
        <v>0.75</v>
      </c>
      <c r="F17" s="20" t="str">
        <f>IF(OR(D17="",E17=""),"",(E17-D17)*1440)</f>
      </c>
      <c r="G17" s="16" t="str">
        <v>Final aproximado a las 18:00 según el boceto</v>
      </c>
      <c r="H17" s="2"/>
    </row>
    <row r="18" ht="40" customHeight="1">
      <c r="A18" s="2"/>
      <c r="B18" s="17" t="n">
        <v>8</v>
      </c>
      <c r="C18" s="17" t="str">
        <v>Epílogo y salida</v>
      </c>
      <c r="D18" s="22" t="n">
        <v>0.75</v>
      </c>
      <c r="E18" s="22" t="n">
        <v>0.7638888888888888</v>
      </c>
      <c r="F18" s="21" t="n">
        <f>IF(OR(D18="",E18=""),"",(E18-D18)*1440)</f>
        <v>19.99999999999993</v>
      </c>
      <c r="G18" s="17" t="str">
        <v>Ventana de 20 minutos: incluye traslado, acción y salida</v>
      </c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10" t="str">
        <v>Celdas ámbar: horas editables. Vacío significa pendiente.</v>
      </c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 t="str">
        <v>Epílogo: traslado, acción y salida en 20 minutos. Acción de 4 a 6 minutos.</v>
      </c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 t="str">
        <v>La Vega: fin aproximado. El resto del horario debe cronometrarse.</v>
      </c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</sheetData>
  <hyperlinks>
    <hyperlink ref="B6" display="Inicio" location="'Inicio'!B2"/>
    <hyperlink ref="C6" display="Espacios" location="'Espacios'!B2"/>
    <hyperlink ref="D6" display="Recorrido" location="'Recorrido'!B2"/>
    <hyperlink ref="E6" display="Contactos" location="'Contactos'!B2"/>
    <hyperlink ref="F6" display="Boceto" location="'Boceto'!B2"/>
    <hyperlink ref="G6" display="Timeline" location="'Timeline'!B2"/>
  </hyperlinks>
  <pageMargins left="0.7" right="0.7" top="0.75" bottom="0.75" header="0.3" footer="0.3"/>
  <tableParts count="1">
    <tablePart r:id="Reb5f846370614860"/>
  </tableParts>
</worksheet>
</file>